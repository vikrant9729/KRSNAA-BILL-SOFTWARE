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Detailed" sheetId="2" state="visible" r:id="rId2"/>
  </sheets>
  <externalReferences>
    <externalReference xmlns:r="http://schemas.openxmlformats.org/officeDocument/2006/relationships" r:id="rId3"/>
  </externalReferences>
  <definedNames>
    <definedName name="Hospitals">[1]!Table4[Hospitals]</definedName>
    <definedName name="Tests">[1]!Table3[Test names]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mmmm\-yyyy"/>
    <numFmt numFmtId="166" formatCode="_(* #,##0_);_(* \(#,##0\);_(* &quot;-&quot;??_);_(@_)"/>
    <numFmt numFmtId="167" formatCode="_ * #,##0.00_ ;_ * \-#,##0.00_ ;_ * &quot;-&quot;??_ ;_ @_ "/>
    <numFmt numFmtId="168" formatCode="_ * #,##0_ ;_ * \-#,##0_ ;_ * &quot;-&quot;??_ ;_ @_ "/>
  </numFmts>
  <fonts count="25">
    <font>
      <name val="Calibri"/>
      <charset val="134"/>
      <color theme="1"/>
      <sz val="11"/>
      <scheme val="minor"/>
    </font>
    <font>
      <name val="Calibri"/>
      <family val="2"/>
      <b val="1"/>
      <sz val="18"/>
      <scheme val="minor"/>
    </font>
    <font>
      <name val="Calibri"/>
      <family val="2"/>
      <sz val="10"/>
      <scheme val="minor"/>
    </font>
    <font>
      <name val="Calibri"/>
      <family val="2"/>
      <sz val="9"/>
      <scheme val="minor"/>
    </font>
    <font>
      <name val="Calibri"/>
      <family val="2"/>
      <b val="1"/>
      <color rgb="FF000000"/>
      <sz val="16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Aril"/>
      <charset val="134"/>
      <b val="1"/>
      <sz val="10"/>
    </font>
    <font>
      <name val="Calibri"/>
      <family val="2"/>
      <b val="1"/>
      <sz val="9"/>
      <scheme val="minor"/>
    </font>
    <font>
      <name val="Calibri"/>
      <family val="2"/>
      <b val="1"/>
      <sz val="9"/>
      <u val="single"/>
      <scheme val="minor"/>
    </font>
    <font>
      <name val="Calibri"/>
      <family val="2"/>
      <color theme="0"/>
      <sz val="9"/>
      <scheme val="minor"/>
    </font>
    <font>
      <name val="Calibri"/>
      <family val="2"/>
      <b val="1"/>
      <sz val="9"/>
    </font>
    <font>
      <name val="Calibri"/>
      <family val="2"/>
      <sz val="9"/>
    </font>
    <font>
      <name val="Calibri"/>
      <family val="2"/>
      <sz val="10"/>
    </font>
    <font>
      <name val="Calibri"/>
      <family val="2"/>
      <sz val="8"/>
      <scheme val="minor"/>
    </font>
    <font>
      <name val="Arial"/>
      <family val="2"/>
      <sz val="10"/>
    </font>
    <font>
      <name val="Calibri"/>
      <family val="2"/>
      <b val="1"/>
      <sz val="8"/>
      <scheme val="minor"/>
    </font>
    <font>
      <name val="Calibri"/>
      <family val="2"/>
      <b val="1"/>
      <sz val="8.800000000000001"/>
    </font>
    <font>
      <name val="Calibri"/>
      <family val="2"/>
      <color theme="1"/>
      <sz val="11"/>
      <scheme val="minor"/>
    </font>
    <font>
      <name val="Calibri"/>
      <family val="2"/>
      <b val="1"/>
      <sz val="9"/>
      <scheme val="minor"/>
    </font>
    <font>
      <name val="Calibri"/>
      <family val="2"/>
      <b val="1"/>
      <sz val="12"/>
      <scheme val="minor"/>
    </font>
    <font>
      <name val="Calibri"/>
      <family val="2"/>
      <sz val="9"/>
      <scheme val="minor"/>
    </font>
    <font>
      <b val="1"/>
      <sz val="14"/>
    </font>
    <font>
      <b val="1"/>
      <color rgb="00FFFFFF"/>
    </font>
    <font>
      <b val="1"/>
    </font>
  </fonts>
  <fills count="6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004F81BD"/>
        <bgColor rgb="004F81BD"/>
      </patternFill>
    </fill>
    <fill>
      <patternFill patternType="solid">
        <fgColor rgb="00D9D9D9"/>
        <bgColor rgb="00D9D9D9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43" fontId="18" fillId="0" borderId="0"/>
    <xf numFmtId="0" fontId="15" fillId="0" borderId="0"/>
  </cellStyleXfs>
  <cellXfs count="176">
    <xf numFmtId="0" fontId="0" fillId="0" borderId="0" pivotButton="0" quotePrefix="0" xfId="0"/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3" fillId="0" borderId="12" applyAlignment="1" pivotButton="0" quotePrefix="0" xfId="2">
      <alignment horizontal="left" vertical="center"/>
    </xf>
    <xf numFmtId="164" fontId="3" fillId="0" borderId="13" applyAlignment="1" pivotButton="0" quotePrefix="0" xfId="2">
      <alignment horizontal="left" vertical="center"/>
    </xf>
    <xf numFmtId="0" fontId="7" fillId="0" borderId="5" applyAlignment="1" pivotButton="0" quotePrefix="0" xfId="2">
      <alignment vertical="center"/>
    </xf>
    <xf numFmtId="0" fontId="7" fillId="0" borderId="0" applyAlignment="1" pivotButton="0" quotePrefix="0" xfId="2">
      <alignment vertical="center"/>
    </xf>
    <xf numFmtId="0" fontId="3" fillId="0" borderId="14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7" fillId="0" borderId="16" applyAlignment="1" pivotButton="0" quotePrefix="0" xfId="2">
      <alignment horizontal="left" vertical="center"/>
    </xf>
    <xf numFmtId="0" fontId="7" fillId="0" borderId="17" applyAlignment="1" pivotButton="0" quotePrefix="0" xfId="2">
      <alignment vertical="center"/>
    </xf>
    <xf numFmtId="0" fontId="2" fillId="0" borderId="17" applyAlignment="1" pivotButton="0" quotePrefix="0" xfId="2">
      <alignment horizontal="center" vertical="center"/>
    </xf>
    <xf numFmtId="0" fontId="8" fillId="0" borderId="18" applyAlignment="1" pivotButton="0" quotePrefix="0" xfId="2">
      <alignment horizontal="center"/>
    </xf>
    <xf numFmtId="0" fontId="3" fillId="0" borderId="19" applyAlignment="1" pivotButton="0" quotePrefix="0" xfId="2">
      <alignment horizontal="left"/>
    </xf>
    <xf numFmtId="0" fontId="8" fillId="2" borderId="20" applyAlignment="1" pivotButton="0" quotePrefix="0" xfId="2">
      <alignment horizontal="center" vertical="center"/>
    </xf>
    <xf numFmtId="0" fontId="8" fillId="2" borderId="21" applyAlignment="1" pivotButton="0" quotePrefix="0" xfId="2">
      <alignment vertical="center"/>
    </xf>
    <xf numFmtId="0" fontId="8" fillId="2" borderId="22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43" fontId="3" fillId="0" borderId="6" applyAlignment="1" pivotButton="0" quotePrefix="0" xfId="2">
      <alignment horizontal="left" vertical="center"/>
    </xf>
    <xf numFmtId="0" fontId="10" fillId="0" borderId="24" applyAlignment="1" pivotButton="0" quotePrefix="0" xfId="2">
      <alignment horizontal="center" vertical="center"/>
    </xf>
    <xf numFmtId="166" fontId="10" fillId="0" borderId="24" applyAlignment="1" pivotButton="0" quotePrefix="0" xfId="1">
      <alignment horizontal="center" vertical="center"/>
    </xf>
    <xf numFmtId="0" fontId="0" fillId="0" borderId="5" pivotButton="0" quotePrefix="0" xfId="0"/>
    <xf numFmtId="0" fontId="9" fillId="0" borderId="0" applyAlignment="1" pivotButton="0" quotePrefix="0" xfId="2">
      <alignment horizontal="left" vertical="center"/>
    </xf>
    <xf numFmtId="0" fontId="9" fillId="0" borderId="24" applyAlignment="1" pivotButton="0" quotePrefix="0" xfId="2">
      <alignment horizontal="left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9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3" fillId="0" borderId="24" applyAlignment="1" pivotButton="0" quotePrefix="0" xfId="2">
      <alignment horizontal="left" vertical="center"/>
    </xf>
    <xf numFmtId="0" fontId="8" fillId="0" borderId="24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7" applyAlignment="1" pivotButton="0" quotePrefix="0" xfId="0">
      <alignment horizontal="center" vertical="center"/>
    </xf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24" applyAlignment="1" pivotButton="0" quotePrefix="0" xfId="0">
      <alignment horizontal="center" vertical="center"/>
    </xf>
    <xf numFmtId="9" fontId="12" fillId="0" borderId="24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0" fontId="13" fillId="0" borderId="13" pivotButton="0" quotePrefix="0" xfId="0"/>
    <xf numFmtId="167" fontId="13" fillId="0" borderId="15" pivotButton="0" quotePrefix="0" xfId="0"/>
    <xf numFmtId="9" fontId="12" fillId="0" borderId="24" applyAlignment="1" pivotButton="0" quotePrefix="0" xfId="0">
      <alignment horizontal="center"/>
    </xf>
    <xf numFmtId="168" fontId="13" fillId="0" borderId="15" pivotButton="0" quotePrefix="0" xfId="0"/>
    <xf numFmtId="0" fontId="13" fillId="0" borderId="19" pivotButton="0" quotePrefix="0" xfId="0"/>
    <xf numFmtId="0" fontId="11" fillId="3" borderId="27" applyAlignment="1" pivotButton="0" quotePrefix="0" xfId="0">
      <alignment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0" fontId="2" fillId="0" borderId="25" applyAlignment="1" pivotButton="0" quotePrefix="0" xfId="2">
      <alignment vertical="center"/>
    </xf>
    <xf numFmtId="0" fontId="2" fillId="0" borderId="26" applyAlignment="1" pivotButton="0" quotePrefix="0" xfId="2">
      <alignment vertical="center"/>
    </xf>
    <xf numFmtId="0" fontId="3" fillId="0" borderId="26" applyAlignment="1" pivotButton="0" quotePrefix="0" xfId="2">
      <alignment vertical="center"/>
    </xf>
    <xf numFmtId="0" fontId="3" fillId="0" borderId="28" applyAlignment="1" pivotButton="0" quotePrefix="0" xfId="2">
      <alignment vertical="center"/>
    </xf>
    <xf numFmtId="0" fontId="3" fillId="0" borderId="12" pivotButton="0" quotePrefix="0" xfId="2"/>
    <xf numFmtId="0" fontId="3" fillId="0" borderId="11" pivotButton="0" quotePrefix="0" xfId="2"/>
    <xf numFmtId="0" fontId="3" fillId="0" borderId="14" pivotButton="0" quotePrefix="0" xfId="2"/>
    <xf numFmtId="0" fontId="3" fillId="0" borderId="0" pivotButton="0" quotePrefix="0" xfId="2"/>
    <xf numFmtId="0" fontId="3" fillId="0" borderId="0" applyAlignment="1" pivotButton="0" quotePrefix="0" xfId="2">
      <alignment horizontal="right"/>
    </xf>
    <xf numFmtId="0" fontId="3" fillId="0" borderId="6" applyAlignment="1" pivotButton="0" quotePrefix="0" xfId="2">
      <alignment horizontal="right"/>
    </xf>
    <xf numFmtId="0" fontId="3" fillId="0" borderId="34" pivotButton="0" quotePrefix="0" xfId="2"/>
    <xf numFmtId="0" fontId="3" fillId="0" borderId="33" pivotButton="0" quotePrefix="0" xfId="2"/>
    <xf numFmtId="166" fontId="0" fillId="0" borderId="0" pivotButton="0" quotePrefix="0" xfId="0"/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20" fillId="0" borderId="5" applyAlignment="1" pivotButton="0" quotePrefix="0" xfId="2">
      <alignment horizontal="left" vertical="center" wrapText="1"/>
    </xf>
    <xf numFmtId="0" fontId="20" fillId="0" borderId="0" applyAlignment="1" pivotButton="0" quotePrefix="0" xfId="2">
      <alignment horizontal="left" vertical="center"/>
    </xf>
    <xf numFmtId="0" fontId="20" fillId="0" borderId="6" applyAlignment="1" pivotButton="0" quotePrefix="0" xfId="2">
      <alignment horizontal="left" vertical="center"/>
    </xf>
    <xf numFmtId="0" fontId="21" fillId="0" borderId="15" applyAlignment="1" pivotButton="0" quotePrefix="0" xfId="2">
      <alignment horizontal="left" vertical="center"/>
    </xf>
    <xf numFmtId="168" fontId="0" fillId="0" borderId="0" pivotButton="0" quotePrefix="0" xfId="0"/>
    <xf numFmtId="0" fontId="11" fillId="3" borderId="25" applyAlignment="1" pivotButton="0" quotePrefix="0" xfId="0">
      <alignment horizontal="center" vertical="center"/>
    </xf>
    <xf numFmtId="0" fontId="11" fillId="3" borderId="26" applyAlignment="1" pivotButton="0" quotePrefix="0" xfId="0">
      <alignment horizontal="center" vertical="center"/>
    </xf>
    <xf numFmtId="0" fontId="11" fillId="3" borderId="27" applyAlignment="1" pivotButton="0" quotePrefix="0" xfId="0">
      <alignment horizontal="center" vertical="center"/>
    </xf>
    <xf numFmtId="0" fontId="2" fillId="0" borderId="25" applyAlignment="1" pivotButton="0" quotePrefix="0" xfId="2">
      <alignment horizontal="left" vertical="center"/>
    </xf>
    <xf numFmtId="0" fontId="2" fillId="0" borderId="26" applyAlignment="1" pivotButton="0" quotePrefix="0" xfId="2">
      <alignment horizontal="left" vertical="center"/>
    </xf>
    <xf numFmtId="0" fontId="2" fillId="0" borderId="28" applyAlignment="1" pivotButton="0" quotePrefix="0" xfId="2">
      <alignment horizontal="left" vertical="center"/>
    </xf>
    <xf numFmtId="0" fontId="8" fillId="0" borderId="25" applyAlignment="1" pivotButton="0" quotePrefix="0" xfId="2">
      <alignment horizontal="left" vertical="center"/>
    </xf>
    <xf numFmtId="0" fontId="8" fillId="0" borderId="26" applyAlignment="1" pivotButton="0" quotePrefix="0" xfId="2">
      <alignment horizontal="left" vertical="center"/>
    </xf>
    <xf numFmtId="0" fontId="8" fillId="0" borderId="28" applyAlignment="1" pivotButton="0" quotePrefix="0" xfId="2">
      <alignment horizontal="left" vertical="center"/>
    </xf>
    <xf numFmtId="0" fontId="21" fillId="0" borderId="5" applyAlignment="1" pivotButton="0" quotePrefix="0" xfId="2">
      <alignment horizontal="left" wrapText="1" shrinkToFit="1"/>
    </xf>
    <xf numFmtId="0" fontId="3" fillId="0" borderId="0" applyAlignment="1" pivotButton="0" quotePrefix="0" xfId="2">
      <alignment horizontal="left" wrapText="1" shrinkToFit="1"/>
    </xf>
    <xf numFmtId="0" fontId="21" fillId="0" borderId="32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right" vertical="top"/>
    </xf>
    <xf numFmtId="0" fontId="3" fillId="0" borderId="35" applyAlignment="1" pivotButton="0" quotePrefix="0" xfId="2">
      <alignment horizontal="right" vertical="top"/>
    </xf>
    <xf numFmtId="0" fontId="14" fillId="0" borderId="29" applyAlignment="1" pivotButton="0" quotePrefix="0" xfId="2">
      <alignment horizontal="left" vertical="center" wrapText="1"/>
    </xf>
    <xf numFmtId="0" fontId="14" fillId="0" borderId="1" applyAlignment="1" pivotButton="0" quotePrefix="0" xfId="2">
      <alignment horizontal="left" vertical="center" wrapText="1"/>
    </xf>
    <xf numFmtId="0" fontId="14" fillId="0" borderId="30" applyAlignment="1" pivotButton="0" quotePrefix="0" xfId="2">
      <alignment horizontal="left" vertical="center" wrapText="1"/>
    </xf>
    <xf numFmtId="0" fontId="14" fillId="0" borderId="13" applyAlignment="1" pivotButton="0" quotePrefix="0" xfId="2">
      <alignment horizontal="left" vertical="center" wrapText="1"/>
    </xf>
    <xf numFmtId="0" fontId="3" fillId="0" borderId="10" applyAlignment="1" pivotButton="0" quotePrefix="0" xfId="2">
      <alignment horizontal="left" wrapText="1" shrinkToFit="1"/>
    </xf>
    <xf numFmtId="0" fontId="3" fillId="0" borderId="11" applyAlignment="1" pivotButton="0" quotePrefix="0" xfId="2">
      <alignment horizontal="left" wrapText="1" shrinkToFit="1"/>
    </xf>
    <xf numFmtId="0" fontId="19" fillId="0" borderId="11" applyAlignment="1" pivotButton="0" quotePrefix="0" xfId="2">
      <alignment horizontal="right"/>
    </xf>
    <xf numFmtId="0" fontId="8" fillId="0" borderId="31" applyAlignment="1" pivotButton="0" quotePrefix="0" xfId="2">
      <alignment horizontal="right"/>
    </xf>
    <xf numFmtId="0" fontId="3" fillId="0" borderId="5" applyAlignment="1" pivotButton="0" quotePrefix="0" xfId="2">
      <alignment horizontal="left" wrapText="1" shrinkToFit="1"/>
    </xf>
    <xf numFmtId="0" fontId="21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12" fillId="0" borderId="5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0" fontId="8" fillId="2" borderId="16" applyAlignment="1" pivotButton="0" quotePrefix="0" xfId="2">
      <alignment horizontal="center" vertical="center"/>
    </xf>
    <xf numFmtId="0" fontId="8" fillId="2" borderId="17" applyAlignment="1" pivotButton="0" quotePrefix="0" xfId="2">
      <alignment horizontal="center" vertical="center"/>
    </xf>
    <xf numFmtId="0" fontId="8" fillId="2" borderId="20" applyAlignment="1" pivotButton="0" quotePrefix="0" xfId="2">
      <alignment horizontal="center" vertical="center"/>
    </xf>
    <xf numFmtId="0" fontId="9" fillId="0" borderId="10" applyAlignment="1" pivotButton="0" quotePrefix="0" xfId="2">
      <alignment horizontal="left" vertical="center"/>
    </xf>
    <xf numFmtId="0" fontId="9" fillId="0" borderId="11" applyAlignment="1" pivotButton="0" quotePrefix="0" xfId="2">
      <alignment horizontal="left" vertical="center"/>
    </xf>
    <xf numFmtId="0" fontId="9" fillId="0" borderId="23" applyAlignment="1" pivotButton="0" quotePrefix="0" xfId="2">
      <alignment horizontal="left" vertical="center"/>
    </xf>
    <xf numFmtId="0" fontId="10" fillId="0" borderId="5" applyAlignment="1" pivotButton="0" quotePrefix="0" xfId="2">
      <alignment horizontal="center" vertical="center"/>
    </xf>
    <xf numFmtId="0" fontId="10" fillId="0" borderId="0" applyAlignment="1" pivotButton="0" quotePrefix="0" xfId="2">
      <alignment horizontal="center" vertical="center"/>
    </xf>
    <xf numFmtId="0" fontId="10" fillId="0" borderId="24" applyAlignment="1" pivotButton="0" quotePrefix="0" xfId="2">
      <alignment horizontal="center" vertical="center"/>
    </xf>
    <xf numFmtId="0" fontId="3" fillId="0" borderId="5" applyAlignment="1" pivotButton="0" quotePrefix="0" xfId="2">
      <alignment horizontal="center" vertical="center"/>
    </xf>
    <xf numFmtId="0" fontId="3" fillId="0" borderId="0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0" fontId="11" fillId="0" borderId="25" applyAlignment="1" pivotButton="0" quotePrefix="0" xfId="0">
      <alignment horizontal="center" vertical="center"/>
    </xf>
    <xf numFmtId="0" fontId="11" fillId="0" borderId="26" applyAlignment="1" pivotButton="0" quotePrefix="0" xfId="0">
      <alignment horizontal="center" vertical="center"/>
    </xf>
    <xf numFmtId="0" fontId="11" fillId="0" borderId="27" applyAlignment="1" pivotButton="0" quotePrefix="0" xfId="0">
      <alignment horizontal="center" vertical="center"/>
    </xf>
    <xf numFmtId="0" fontId="5" fillId="0" borderId="10" applyAlignment="1" pivotButton="0" quotePrefix="0" xfId="2">
      <alignment horizontal="left"/>
    </xf>
    <xf numFmtId="0" fontId="6" fillId="0" borderId="11" applyAlignment="1" pivotButton="0" quotePrefix="0" xfId="2">
      <alignment horizontal="left"/>
    </xf>
    <xf numFmtId="0" fontId="2" fillId="0" borderId="11" applyAlignment="1" pivotButton="0" quotePrefix="0" xfId="2">
      <alignment horizontal="center" vertical="center"/>
    </xf>
    <xf numFmtId="0" fontId="2" fillId="0" borderId="0" applyAlignment="1" pivotButton="0" quotePrefix="0" xfId="2">
      <alignment horizontal="center" vertical="center"/>
    </xf>
    <xf numFmtId="0" fontId="1" fillId="0" borderId="2" applyAlignment="1" pivotButton="0" quotePrefix="0" xfId="2">
      <alignment horizontal="left" vertical="center"/>
    </xf>
    <xf numFmtId="0" fontId="1" fillId="0" borderId="3" applyAlignment="1" pivotButton="0" quotePrefix="0" xfId="2">
      <alignment horizontal="left" vertical="center"/>
    </xf>
    <xf numFmtId="0" fontId="1" fillId="0" borderId="4" applyAlignment="1" pivotButton="0" quotePrefix="0" xfId="2">
      <alignment horizontal="left" vertical="center"/>
    </xf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1" fillId="0" borderId="36" applyAlignment="1" pivotButton="0" quotePrefix="0" xfId="2">
      <alignment horizontal="left" vertical="center"/>
    </xf>
    <xf numFmtId="0" fontId="0" fillId="0" borderId="3" pivotButton="0" quotePrefix="0" xfId="0"/>
    <xf numFmtId="0" fontId="0" fillId="0" borderId="4" pivotButton="0" quotePrefix="0" xfId="0"/>
    <xf numFmtId="0" fontId="20" fillId="0" borderId="37" applyAlignment="1" pivotButton="0" quotePrefix="0" xfId="2">
      <alignment horizontal="left"/>
    </xf>
    <xf numFmtId="0" fontId="0" fillId="0" borderId="6" pivotButton="0" quotePrefix="0" xfId="0"/>
    <xf numFmtId="0" fontId="3" fillId="0" borderId="37" applyAlignment="1" pivotButton="0" quotePrefix="0" xfId="2">
      <alignment horizontal="left"/>
    </xf>
    <xf numFmtId="0" fontId="4" fillId="0" borderId="38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  <xf numFmtId="164" fontId="3" fillId="0" borderId="13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8" fillId="2" borderId="40" applyAlignment="1" pivotButton="0" quotePrefix="0" xfId="2">
      <alignment horizontal="center" vertical="center"/>
    </xf>
    <xf numFmtId="0" fontId="0" fillId="0" borderId="17" pivotButton="0" quotePrefix="0" xfId="0"/>
    <xf numFmtId="0" fontId="0" fillId="0" borderId="20" pivotButton="0" quotePrefix="0" xfId="0"/>
    <xf numFmtId="0" fontId="9" fillId="0" borderId="41" applyAlignment="1" pivotButton="0" quotePrefix="0" xfId="2">
      <alignment horizontal="left" vertical="center"/>
    </xf>
    <xf numFmtId="0" fontId="0" fillId="0" borderId="23" pivotButton="0" quotePrefix="0" xfId="0"/>
    <xf numFmtId="43" fontId="3" fillId="0" borderId="6" applyAlignment="1" pivotButton="0" quotePrefix="0" xfId="2">
      <alignment horizontal="left" vertical="center"/>
    </xf>
    <xf numFmtId="0" fontId="10" fillId="0" borderId="42" applyAlignment="1" pivotButton="0" quotePrefix="0" xfId="2">
      <alignment horizontal="center" vertical="center"/>
    </xf>
    <xf numFmtId="0" fontId="0" fillId="0" borderId="24" pivotButton="0" quotePrefix="0" xfId="0"/>
    <xf numFmtId="166" fontId="10" fillId="0" borderId="24" applyAlignment="1" pivotButton="0" quotePrefix="0" xfId="1">
      <alignment horizontal="center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3" fillId="0" borderId="42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9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42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167" fontId="13" fillId="0" borderId="15" pivotButton="0" quotePrefix="0" xfId="0"/>
    <xf numFmtId="0" fontId="11" fillId="3" borderId="29" applyAlignment="1" pivotButton="0" quotePrefix="0" xfId="0">
      <alignment horizontal="center"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166" fontId="0" fillId="0" borderId="0" pivotButton="0" quotePrefix="0" xfId="0"/>
    <xf numFmtId="0" fontId="2" fillId="0" borderId="43" applyAlignment="1" pivotButton="0" quotePrefix="0" xfId="2">
      <alignment horizontal="left" vertical="center"/>
    </xf>
    <xf numFmtId="0" fontId="0" fillId="0" borderId="28" pivotButton="0" quotePrefix="0" xfId="0"/>
    <xf numFmtId="0" fontId="8" fillId="0" borderId="43" applyAlignment="1" pivotButton="0" quotePrefix="0" xfId="2">
      <alignment horizontal="left" vertical="center"/>
    </xf>
    <xf numFmtId="0" fontId="19" fillId="0" borderId="31" applyAlignment="1" pivotButton="0" quotePrefix="0" xfId="2">
      <alignment horizontal="right"/>
    </xf>
    <xf numFmtId="0" fontId="0" fillId="0" borderId="3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0" applyAlignment="1" pivotButton="0" quotePrefix="0" xfId="0">
      <alignment horizontal="center" vertical="center"/>
    </xf>
    <xf numFmtId="0" fontId="23" fillId="4" borderId="44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24" fillId="5" borderId="0" applyAlignment="1" pivotButton="0" quotePrefix="0" xfId="0">
      <alignment horizontal="center"/>
    </xf>
    <xf numFmtId="0" fontId="24" fillId="5" borderId="44" applyAlignment="1" pivotButton="0" quotePrefix="0" xfId="0">
      <alignment horizontal="center"/>
    </xf>
  </cellXfs>
  <cellStyles count="3">
    <cellStyle name="Normal" xfId="0" builtinId="0"/>
    <cellStyle name="Comma 2" xfId="1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externalLink" Target="/xl/externalLinks/externalLink1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4</col>
      <colOff>28575</colOff>
      <row>2</row>
      <rowOff>104776</rowOff>
    </from>
    <to>
      <col>6</col>
      <colOff>1495425</colOff>
      <row>6</row>
      <rowOff>19525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029200" y="485776"/>
          <a:ext cx="3028950" cy="8100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195.185.175.34\g\ACCOUNT%20DEPATMENT%20F.Y.23-24\MANGLAM%20BILL\slip%20manglam%20NOVEMBER%20%202020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lip manglam NOVEMBER  20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3:I38"/>
  <sheetViews>
    <sheetView tabSelected="1" workbookViewId="0">
      <selection activeCell="B3" sqref="B3:G8"/>
    </sheetView>
  </sheetViews>
  <sheetFormatPr baseColWidth="8" defaultColWidth="9" defaultRowHeight="15"/>
  <cols>
    <col width="48" customWidth="1" min="2" max="2"/>
    <col width="5" customWidth="1" min="5" max="5"/>
    <col width="18.42578125" customWidth="1" min="6" max="6"/>
    <col width="23.7109375" customWidth="1" min="7" max="7"/>
  </cols>
  <sheetData>
    <row r="3" ht="23.25" customHeight="1">
      <c r="B3" s="127" t="inlineStr">
        <is>
          <t>MANGLAM IMAGING PVT. LTD.</t>
        </is>
      </c>
      <c r="C3" s="128" t="n"/>
      <c r="D3" s="128" t="n"/>
      <c r="E3" s="128" t="n"/>
      <c r="F3" s="128" t="n"/>
      <c r="G3" s="129" t="n"/>
    </row>
    <row r="4" ht="15.75" customHeight="1">
      <c r="B4" s="62" t="inlineStr">
        <is>
          <t>Jindal Hospital Road,</t>
        </is>
      </c>
      <c r="C4" s="63" t="n"/>
      <c r="D4" s="63" t="n"/>
      <c r="E4" s="63" t="n"/>
      <c r="F4" s="63" t="n"/>
      <c r="G4" s="64" t="n"/>
    </row>
    <row r="5" ht="15.75" customHeight="1">
      <c r="B5" s="118" t="inlineStr">
        <is>
          <t>Hisar (Haryana)</t>
        </is>
      </c>
      <c r="C5" s="119" t="n"/>
      <c r="D5" s="119" t="n"/>
      <c r="E5" s="119" t="n"/>
      <c r="F5" s="119" t="n"/>
      <c r="G5" s="120" t="n"/>
    </row>
    <row r="6" ht="15.75" customHeight="1">
      <c r="B6" s="130" t="inlineStr">
        <is>
          <t>Pin - 125001</t>
        </is>
      </c>
      <c r="G6" s="131" t="n"/>
    </row>
    <row r="7" ht="15.75" customHeight="1">
      <c r="B7" s="130" t="n"/>
      <c r="G7" s="131" t="n"/>
    </row>
    <row r="8">
      <c r="B8" s="132" t="n"/>
      <c r="G8" s="131" t="n"/>
    </row>
    <row r="9">
      <c r="B9" s="121" t="n"/>
      <c r="C9" s="122" t="n"/>
      <c r="D9" s="122" t="n"/>
      <c r="E9" s="122" t="n"/>
      <c r="F9" s="122" t="n"/>
      <c r="G9" s="123" t="n"/>
    </row>
    <row r="10" ht="21" customHeight="1">
      <c r="B10" s="133" t="inlineStr">
        <is>
          <t>BILL OF SUPPLY CUM INVOICE</t>
        </is>
      </c>
      <c r="C10" s="134" t="n"/>
      <c r="D10" s="134" t="n"/>
      <c r="E10" s="134" t="n"/>
      <c r="F10" s="134" t="n"/>
      <c r="G10" s="135" t="n"/>
    </row>
    <row r="11">
      <c r="B11" s="111" t="inlineStr">
        <is>
          <t>To,</t>
        </is>
      </c>
      <c r="C11" s="136" t="n"/>
      <c r="D11" s="113" t="n"/>
      <c r="E11" s="136" t="n"/>
      <c r="F11" s="4" t="inlineStr">
        <is>
          <t>Invoice Date</t>
        </is>
      </c>
      <c r="G11" s="137" t="inlineStr">
        <is>
          <t>2025-09-03</t>
        </is>
      </c>
    </row>
    <row r="12">
      <c r="B12" s="6" t="inlineStr">
        <is>
          <t>GOSWAMI HOSPITAL</t>
        </is>
      </c>
      <c r="C12" s="7" t="n"/>
      <c r="D12" s="114" t="n"/>
      <c r="F12" s="8" t="inlineStr">
        <is>
          <t>Invoice No.</t>
        </is>
      </c>
      <c r="G12" s="65" t="inlineStr">
        <is>
          <t>MIPL/2025-2026/09/002</t>
        </is>
      </c>
    </row>
    <row r="13">
      <c r="B13" s="6" t="n"/>
      <c r="C13" s="7" t="n"/>
      <c r="D13" s="114" t="n"/>
      <c r="F13" s="8" t="inlineStr">
        <is>
          <t>For the Month</t>
        </is>
      </c>
      <c r="G13" s="138" t="inlineStr">
        <is>
          <t>August-2025</t>
        </is>
      </c>
    </row>
    <row r="14">
      <c r="B14" s="6" t="n"/>
      <c r="C14" s="7" t="n"/>
      <c r="D14" s="114" t="n"/>
      <c r="F14" s="8" t="n"/>
      <c r="G14" s="138" t="n"/>
    </row>
    <row r="15">
      <c r="B15" s="10" t="n"/>
      <c r="C15" s="11" t="n"/>
      <c r="D15" s="12" t="n"/>
      <c r="E15" s="12" t="n"/>
      <c r="F15" s="13" t="n"/>
      <c r="G15" s="14" t="n"/>
    </row>
    <row r="16">
      <c r="B16" s="139" t="inlineStr">
        <is>
          <t>Particulars</t>
        </is>
      </c>
      <c r="C16" s="140" t="n"/>
      <c r="D16" s="141" t="n"/>
      <c r="E16" s="16" t="inlineStr">
        <is>
          <t>Count</t>
        </is>
      </c>
      <c r="F16" s="98" t="inlineStr">
        <is>
          <t>Rate</t>
        </is>
      </c>
      <c r="G16" s="17" t="inlineStr">
        <is>
          <t>Gross Amount (INR)</t>
        </is>
      </c>
    </row>
    <row r="17">
      <c r="B17" s="142" t="n"/>
      <c r="C17" s="136" t="n"/>
      <c r="D17" s="143" t="n"/>
      <c r="E17" s="107" t="n"/>
      <c r="F17" s="107" t="n"/>
      <c r="G17" s="144" t="n"/>
    </row>
    <row r="18">
      <c r="B18" s="145" t="inlineStr">
        <is>
          <t>CT Investigation</t>
        </is>
      </c>
      <c r="D18" s="146" t="n"/>
      <c r="E18" s="104" t="n"/>
      <c r="F18" s="147" t="n">
        <v>0</v>
      </c>
      <c r="G18" s="144" t="n"/>
    </row>
    <row r="19">
      <c r="B19" s="22" t="inlineStr">
        <is>
          <t>Pathology Investigation</t>
        </is>
      </c>
      <c r="C19" s="23" t="n"/>
      <c r="D19" s="24" t="n"/>
      <c r="E19" s="107">
        <f>MAX(#REF!)</f>
        <v/>
      </c>
      <c r="F19" s="148" t="inlineStr">
        <is>
          <t>Agreement Rate</t>
        </is>
      </c>
      <c r="G19" s="149" t="n">
        <v>7350</v>
      </c>
    </row>
    <row r="20">
      <c r="B20" s="22" t="inlineStr">
        <is>
          <t>Radiology Investigation</t>
        </is>
      </c>
      <c r="C20" s="23" t="n"/>
      <c r="D20" s="24" t="n"/>
      <c r="E20" s="107" t="n">
        <v>2</v>
      </c>
      <c r="F20" s="148" t="n"/>
      <c r="G20" s="149" t="n"/>
    </row>
    <row r="21">
      <c r="B21" s="27" t="n"/>
      <c r="C21" s="92" t="n"/>
      <c r="D21" s="29" t="n"/>
      <c r="E21" s="107" t="n"/>
      <c r="F21" s="148" t="n"/>
      <c r="G21" s="149" t="n"/>
    </row>
    <row r="22">
      <c r="B22" s="150" t="n"/>
      <c r="D22" s="146" t="n"/>
      <c r="E22" s="30" t="n"/>
      <c r="F22" s="151" t="n"/>
      <c r="G22" s="144" t="n"/>
    </row>
    <row r="23">
      <c r="B23" s="152" t="inlineStr">
        <is>
          <t xml:space="preserve">Gross Amount </t>
        </is>
      </c>
      <c r="C23" s="153" t="n"/>
      <c r="D23" s="154" t="n"/>
      <c r="E23" s="110" t="n"/>
      <c r="F23" s="155" t="n"/>
      <c r="G23" s="156">
        <f>SUM(G17:G22)</f>
        <v/>
      </c>
    </row>
    <row r="24">
      <c r="B24" s="157" t="n"/>
      <c r="D24" s="146" t="n"/>
      <c r="E24" s="36" t="n"/>
      <c r="F24" s="158" t="n"/>
      <c r="G24" s="38" t="n"/>
    </row>
    <row r="25">
      <c r="B25" s="157" t="inlineStr">
        <is>
          <t>(Less) Discount Allowed</t>
        </is>
      </c>
      <c r="D25" s="146" t="n"/>
      <c r="E25" s="36" t="n"/>
      <c r="F25" s="158" t="n"/>
      <c r="G25" s="159" t="n">
        <v>0</v>
      </c>
    </row>
    <row r="26">
      <c r="B26" s="157" t="inlineStr">
        <is>
          <t>(Less) Advance Received</t>
        </is>
      </c>
      <c r="D26" s="146" t="n"/>
      <c r="E26" s="36" t="n"/>
      <c r="F26" s="158" t="n"/>
      <c r="G26" s="159" t="n">
        <v>0</v>
      </c>
    </row>
    <row r="27">
      <c r="B27" s="157" t="inlineStr">
        <is>
          <t>(Less) Revenue Sharing</t>
        </is>
      </c>
      <c r="D27" s="146" t="n"/>
      <c r="E27" s="36" t="n"/>
      <c r="F27" s="40" t="n"/>
      <c r="G27" s="41" t="n">
        <v>1470</v>
      </c>
    </row>
    <row r="28">
      <c r="B28" s="157" t="n"/>
      <c r="D28" s="146" t="n"/>
      <c r="E28" s="95" t="n"/>
      <c r="F28" s="158" t="n"/>
      <c r="G28" s="42" t="n"/>
    </row>
    <row r="29">
      <c r="B29" s="160" t="inlineStr">
        <is>
          <t xml:space="preserve">Net Amount </t>
        </is>
      </c>
      <c r="C29" s="153" t="n"/>
      <c r="D29" s="154" t="n"/>
      <c r="E29" s="43" t="n"/>
      <c r="F29" s="161" t="n"/>
      <c r="G29" s="162">
        <f>G23-SUM(G24:G28)</f>
        <v/>
      </c>
      <c r="I29" s="163" t="n"/>
    </row>
    <row r="30">
      <c r="B30" s="46">
        <f t="array" ref="B30">"Amount in words: "&amp;NumToRupeeWords($G$29)&amp;""</f>
        <v/>
      </c>
      <c r="C30" s="47" t="n"/>
      <c r="D30" s="48" t="n"/>
      <c r="E30" s="48" t="n"/>
      <c r="F30" s="48" t="n"/>
      <c r="G30" s="49" t="n"/>
    </row>
    <row r="31">
      <c r="B31" s="164" t="inlineStr">
        <is>
          <t>Narration - Invoice for the period of 01.08.2025 to 31.08.2025</t>
        </is>
      </c>
      <c r="C31" s="153" t="n"/>
      <c r="D31" s="153" t="n"/>
      <c r="E31" s="153" t="n"/>
      <c r="F31" s="153" t="n"/>
      <c r="G31" s="165" t="n"/>
    </row>
    <row r="32" ht="14.25" customHeight="1">
      <c r="B32" s="166" t="n"/>
      <c r="C32" s="153" t="n"/>
      <c r="D32" s="153" t="n"/>
      <c r="E32" s="153" t="n"/>
      <c r="F32" s="153" t="n"/>
      <c r="G32" s="165" t="n"/>
    </row>
    <row r="33" ht="29.1" customHeight="1">
      <c r="B33" s="82" t="inlineStr">
        <is>
          <t>As per Notification No 9/2017-Integrated Goods &amp; Services Tax (Rate) (Sr No 77 - entry for Healthcare), healthcare services by a clinical establishment are exempt from GST under SAC Code 999316.</t>
        </is>
      </c>
      <c r="C33" s="153" t="n"/>
      <c r="D33" s="153" t="n"/>
      <c r="E33" s="153" t="n"/>
      <c r="F33" s="153" t="n"/>
      <c r="G33" s="154" t="n"/>
    </row>
    <row r="34">
      <c r="B34" s="86" t="inlineStr">
        <is>
          <t>Bank Details</t>
        </is>
      </c>
      <c r="C34" s="136" t="n"/>
      <c r="D34" s="50" t="n"/>
      <c r="E34" s="51" t="n"/>
      <c r="F34" s="167" t="inlineStr">
        <is>
          <t xml:space="preserve">MANGLAM IMAGING PVT. LTD.  </t>
        </is>
      </c>
      <c r="G34" s="168" t="n"/>
    </row>
    <row r="35">
      <c r="B35" s="90" t="inlineStr">
        <is>
          <t>HDFC Bank Limited</t>
        </is>
      </c>
      <c r="D35" s="52" t="n"/>
      <c r="E35" s="53" t="n"/>
      <c r="F35" s="54" t="n"/>
      <c r="G35" s="55" t="n"/>
    </row>
    <row r="36">
      <c r="B36" s="91" t="inlineStr">
        <is>
          <t>HISSAR JINDAL CHOWK BRANCH</t>
        </is>
      </c>
      <c r="D36" s="52" t="n"/>
      <c r="E36" s="53" t="n"/>
      <c r="F36" s="54" t="n"/>
      <c r="G36" s="55" t="n"/>
    </row>
    <row r="37">
      <c r="B37" s="76" t="inlineStr">
        <is>
          <t>A/c No. 14338260000012</t>
        </is>
      </c>
      <c r="D37" s="52" t="n"/>
      <c r="E37" s="53" t="n"/>
      <c r="F37" s="54" t="n"/>
      <c r="G37" s="55" t="n"/>
    </row>
    <row r="38">
      <c r="B38" s="78" t="inlineStr">
        <is>
          <t>IFSC: HDFC0001433</t>
        </is>
      </c>
      <c r="C38" s="169" t="n"/>
      <c r="D38" s="56" t="n"/>
      <c r="E38" s="57" t="n"/>
      <c r="F38" s="81" t="inlineStr">
        <is>
          <t xml:space="preserve">Authorised Signatory  </t>
        </is>
      </c>
      <c r="G38" s="170" t="n"/>
    </row>
  </sheetData>
  <mergeCells count="31">
    <mergeCell ref="B23:D23"/>
    <mergeCell ref="F34:G34"/>
    <mergeCell ref="B8:G8"/>
    <mergeCell ref="B17:D17"/>
    <mergeCell ref="B29:D29"/>
    <mergeCell ref="B28:D28"/>
    <mergeCell ref="B10:G10"/>
    <mergeCell ref="B11:C11"/>
    <mergeCell ref="D11:E11"/>
    <mergeCell ref="D13:E13"/>
    <mergeCell ref="B24:D24"/>
    <mergeCell ref="B33:G33"/>
    <mergeCell ref="B6:G6"/>
    <mergeCell ref="B38:C38"/>
    <mergeCell ref="F38:G38"/>
    <mergeCell ref="B37:C37"/>
    <mergeCell ref="B34:C34"/>
    <mergeCell ref="B26:D26"/>
    <mergeCell ref="B32:G32"/>
    <mergeCell ref="B25:D25"/>
    <mergeCell ref="B16:D16"/>
    <mergeCell ref="B7:G7"/>
    <mergeCell ref="D12:E12"/>
    <mergeCell ref="B3:G3"/>
    <mergeCell ref="B22:D22"/>
    <mergeCell ref="B31:G31"/>
    <mergeCell ref="B18:D18"/>
    <mergeCell ref="D14:E14"/>
    <mergeCell ref="B27:D27"/>
    <mergeCell ref="B36:C36"/>
    <mergeCell ref="B35:C35"/>
  </mergeCells>
  <pageMargins left="0.472222222222222" right="0.275" top="0.751388888888889" bottom="0.751388888888889" header="0.298611111111111" footer="0.298611111111111"/>
  <pageSetup orientation="portrait" scale="8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H5"/>
  <sheetViews>
    <sheetView workbookViewId="0">
      <selection activeCell="D10" sqref="D10"/>
    </sheetView>
  </sheetViews>
  <sheetFormatPr baseColWidth="8" defaultColWidth="9.28515625" defaultRowHeight="15"/>
  <cols>
    <col width="18" customWidth="1" min="1" max="1"/>
    <col width="14" customWidth="1" min="2" max="2"/>
    <col width="11" customWidth="1" min="3" max="3"/>
    <col width="20" customWidth="1" min="4" max="4"/>
    <col width="10" customWidth="1" min="5" max="5"/>
    <col width="8" customWidth="1" min="6" max="6"/>
    <col width="15" customWidth="1" min="7" max="7"/>
    <col width="12" customWidth="1" min="8" max="8"/>
    <col width="9.28515625" customWidth="1" style="66" min="11" max="12"/>
  </cols>
  <sheetData>
    <row r="1">
      <c r="A1" s="171" t="inlineStr">
        <is>
          <t>GOSWAMI HOSPITAL</t>
        </is>
      </c>
    </row>
    <row r="2">
      <c r="A2" s="172" t="inlineStr">
        <is>
          <t>RegisteredDate</t>
        </is>
      </c>
      <c r="B2" s="172" t="inlineStr">
        <is>
          <t>PatientName</t>
        </is>
      </c>
      <c r="C2" s="172" t="inlineStr">
        <is>
          <t>VisitCode</t>
        </is>
      </c>
      <c r="D2" s="172" t="inlineStr">
        <is>
          <t>TestName</t>
        </is>
      </c>
      <c r="E2" s="172" t="inlineStr">
        <is>
          <t>TestType</t>
        </is>
      </c>
      <c r="F2" s="172" t="inlineStr">
        <is>
          <t>MRP</t>
        </is>
      </c>
      <c r="G2" s="172" t="inlineStr">
        <is>
          <t>SharingAmount</t>
        </is>
      </c>
      <c r="H2" s="172" t="inlineStr">
        <is>
          <t>Net Amount</t>
        </is>
      </c>
    </row>
    <row r="3">
      <c r="A3" s="173" t="inlineStr">
        <is>
          <t>2025-08-15</t>
        </is>
      </c>
      <c r="B3" s="173" t="inlineStr">
        <is>
          <t>AMISHA</t>
        </is>
      </c>
      <c r="C3" s="173" t="inlineStr">
        <is>
          <t>22259393</t>
        </is>
      </c>
      <c r="D3" s="173" t="inlineStr">
        <is>
          <t>NCCT Head</t>
        </is>
      </c>
      <c r="E3" s="173" t="inlineStr"/>
      <c r="F3" s="173" t="n">
        <v>1850</v>
      </c>
      <c r="G3" s="173" t="n">
        <v>370</v>
      </c>
      <c r="H3" s="173" t="n">
        <v>1480</v>
      </c>
    </row>
    <row r="4">
      <c r="A4" s="173" t="inlineStr">
        <is>
          <t>2025-08-22</t>
        </is>
      </c>
      <c r="B4" s="173" t="inlineStr">
        <is>
          <t>KHADAK BISTA</t>
        </is>
      </c>
      <c r="C4" s="173" t="inlineStr">
        <is>
          <t>22259849</t>
        </is>
      </c>
      <c r="D4" s="173" t="inlineStr">
        <is>
          <t>MRI Brain Complete</t>
        </is>
      </c>
      <c r="E4" s="173" t="inlineStr"/>
      <c r="F4" s="173" t="n">
        <v>5500</v>
      </c>
      <c r="G4" s="173" t="n">
        <v>1100</v>
      </c>
      <c r="H4" s="173" t="n">
        <v>4400</v>
      </c>
    </row>
    <row r="5">
      <c r="E5" s="174" t="inlineStr">
        <is>
          <t>TOTAL</t>
        </is>
      </c>
      <c r="F5" s="175" t="n">
        <v>7350</v>
      </c>
      <c r="G5" s="175" t="n">
        <v>1470</v>
      </c>
      <c r="H5" s="175" t="n">
        <v>5880</v>
      </c>
    </row>
  </sheetData>
  <mergeCells count="1">
    <mergeCell ref="A1:H1"/>
  </mergeCells>
  <pageMargins left="0.39" right="0.7086614173228347" top="0.7480314960629921" bottom="0.7480314960629921" header="0.3149606299212598" footer="0.3149606299212598"/>
  <pageSetup orientation="portrait" scale="64" fitToHeight="2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deepak rajput</dc:creator>
  <dcterms:created xmlns:dcterms="http://purl.org/dc/terms/" xmlns:xsi="http://www.w3.org/2001/XMLSchema-instance" xsi:type="dcterms:W3CDTF">2015-06-05T18:17:00Z</dcterms:created>
  <dcterms:modified xmlns:dcterms="http://purl.org/dc/terms/" xmlns:xsi="http://www.w3.org/2001/XMLSchema-instance" xsi:type="dcterms:W3CDTF">2025-09-06T08:19:44Z</dcterms:modified>
  <cp:lastModifiedBy>deepak rajput</cp:lastModifiedBy>
  <cp:lastPrinted>2025-08-14T07:53:39Z</cp:lastPrinted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1033-12.2.0.21931</vt:lpwstr>
  </property>
  <property name="ICV" fmtid="{D5CDD505-2E9C-101B-9397-08002B2CF9AE}" pid="3">
    <vt:lpwstr xmlns:vt="http://schemas.openxmlformats.org/officeDocument/2006/docPropsVTypes">85718EA6796D499D84FA5DC031F543EC_12</vt:lpwstr>
  </property>
</Properties>
</file>